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la\OneDrive\Documents\"/>
    </mc:Choice>
  </mc:AlternateContent>
  <xr:revisionPtr revIDLastSave="0" documentId="13_ncr:1_{11D9AFC7-FC06-40A0-A6FC-2BEA1D7592CA}" xr6:coauthVersionLast="47" xr6:coauthVersionMax="47" xr10:uidLastSave="{00000000-0000-0000-0000-000000000000}"/>
  <bookViews>
    <workbookView xWindow="-120" yWindow="-120" windowWidth="20730" windowHeight="11160" xr2:uid="{72ECD9C1-51C1-4D3C-95C9-883E5013D59F}"/>
  </bookViews>
  <sheets>
    <sheet name="Sheet1" sheetId="1" r:id="rId1"/>
  </sheets>
  <definedNames>
    <definedName name="_xlchart.v1.0" hidden="1">Sheet1!$J$35:$J$46</definedName>
    <definedName name="_xlchart.v1.1" hidden="1">Sheet1!$M$34</definedName>
    <definedName name="_xlchart.v1.2" hidden="1">Sheet1!$M$35:$M$46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7" i="1" l="1"/>
  <c r="K47" i="1"/>
  <c r="M47" i="1"/>
  <c r="U16" i="1"/>
  <c r="V16" i="1" s="1"/>
  <c r="Z16" i="1" s="1"/>
  <c r="AA16" i="1" s="1"/>
  <c r="U17" i="1"/>
  <c r="V17" i="1" s="1"/>
  <c r="Z17" i="1" s="1"/>
  <c r="AA17" i="1" s="1"/>
  <c r="U18" i="1"/>
  <c r="V18" i="1" s="1"/>
  <c r="Z18" i="1" s="1"/>
  <c r="AA18" i="1" s="1"/>
  <c r="U15" i="1"/>
  <c r="V15" i="1" s="1"/>
  <c r="Z15" i="1" s="1"/>
  <c r="AA15" i="1" s="1"/>
  <c r="X11" i="1"/>
  <c r="X12" i="1"/>
  <c r="X13" i="1"/>
  <c r="X10" i="1"/>
  <c r="X5" i="1"/>
  <c r="X6" i="1"/>
  <c r="X7" i="1"/>
  <c r="X8" i="1"/>
  <c r="Y8" i="1" s="1"/>
  <c r="Z8" i="1" s="1"/>
  <c r="AA8" i="1" s="1"/>
  <c r="U11" i="1"/>
  <c r="V11" i="1" s="1"/>
  <c r="U12" i="1"/>
  <c r="V12" i="1" s="1"/>
  <c r="U13" i="1"/>
  <c r="V13" i="1" s="1"/>
  <c r="U10" i="1"/>
  <c r="V10" i="1" s="1"/>
  <c r="U8" i="1"/>
  <c r="V8" i="1" s="1"/>
  <c r="U5" i="1"/>
  <c r="V5" i="1" s="1"/>
  <c r="U6" i="1"/>
  <c r="V6" i="1" s="1"/>
  <c r="Y6" i="1" s="1"/>
  <c r="Z6" i="1" s="1"/>
  <c r="AA6" i="1" s="1"/>
  <c r="U7" i="1"/>
  <c r="V7" i="1" s="1"/>
  <c r="Y10" i="1" l="1"/>
  <c r="Z10" i="1" s="1"/>
  <c r="AA10" i="1" s="1"/>
  <c r="Y13" i="1"/>
  <c r="Z13" i="1" s="1"/>
  <c r="AA13" i="1" s="1"/>
  <c r="Y12" i="1"/>
  <c r="Z12" i="1" s="1"/>
  <c r="AA12" i="1" s="1"/>
  <c r="Y5" i="1"/>
  <c r="Z5" i="1" s="1"/>
  <c r="AA5" i="1" s="1"/>
  <c r="Y11" i="1"/>
  <c r="Z11" i="1" s="1"/>
  <c r="AA11" i="1" s="1"/>
  <c r="Y7" i="1"/>
  <c r="Z7" i="1" s="1"/>
  <c r="AA7" i="1" s="1"/>
</calcChain>
</file>

<file path=xl/sharedStrings.xml><?xml version="1.0" encoding="utf-8"?>
<sst xmlns="http://schemas.openxmlformats.org/spreadsheetml/2006/main" count="99" uniqueCount="77">
  <si>
    <t>IKERE</t>
  </si>
  <si>
    <t>BENIN CITY</t>
  </si>
  <si>
    <t>OFFA</t>
  </si>
  <si>
    <t>LAGOS</t>
  </si>
  <si>
    <t>IBADAN</t>
  </si>
  <si>
    <t>SAGAMU</t>
  </si>
  <si>
    <t>OKITIPUPA</t>
  </si>
  <si>
    <t>334 KM</t>
  </si>
  <si>
    <t>187KM</t>
  </si>
  <si>
    <t>283KM</t>
  </si>
  <si>
    <t>161KM</t>
  </si>
  <si>
    <t>321KM</t>
  </si>
  <si>
    <t>270KM</t>
  </si>
  <si>
    <t>251KM</t>
  </si>
  <si>
    <t>146KM</t>
  </si>
  <si>
    <t>320KM</t>
  </si>
  <si>
    <t>144KM</t>
  </si>
  <si>
    <t>225KM</t>
  </si>
  <si>
    <t>238KM</t>
  </si>
  <si>
    <t>TRANSPORTATION COST MATRIX FROM DISTRIBUTION TEAM</t>
  </si>
  <si>
    <t>Road Condition</t>
  </si>
  <si>
    <t>Fuel Availability</t>
  </si>
  <si>
    <t>Fuel Price (AGO) per Litre</t>
  </si>
  <si>
    <t>Average Vehicle Fuel Efficiency at full load</t>
  </si>
  <si>
    <t xml:space="preserve">Average Vehicle Fuel Efficiency at full load </t>
  </si>
  <si>
    <t>TOTAL TRANSPORTATION COST AGGREGATE</t>
  </si>
  <si>
    <t>IKERE TO LAGOS</t>
  </si>
  <si>
    <t>IKERE TO IBADAN</t>
  </si>
  <si>
    <t>ROUTE</t>
  </si>
  <si>
    <t>TOTAL ESTIMATED FUEL COST</t>
  </si>
  <si>
    <t>PERCENTAGE INCREASE</t>
  </si>
  <si>
    <t>TOTAL COST FOR FULL LOAD(1200 BARS)</t>
  </si>
  <si>
    <t>TRANSPORTATION COST PER BAR</t>
  </si>
  <si>
    <t>DISTANCE(KM)</t>
  </si>
  <si>
    <t>FACTOR EFFECT (8%)</t>
  </si>
  <si>
    <t>IKERE TO SAGAMU</t>
  </si>
  <si>
    <t>IKERE TO OKITIPUPA</t>
  </si>
  <si>
    <t>BENIN TO LAGOS</t>
  </si>
  <si>
    <t>BENIN TO IBADAN</t>
  </si>
  <si>
    <t>BENIN TO SAGAMU</t>
  </si>
  <si>
    <t>BENIN TO OKITIPUPA</t>
  </si>
  <si>
    <t>OFFA TO LAGOS</t>
  </si>
  <si>
    <t>OFFA TO IBADAN</t>
  </si>
  <si>
    <t>OFFA TO SAGAMU</t>
  </si>
  <si>
    <t>OFFA TO OKITIPUPA</t>
  </si>
  <si>
    <t>-</t>
  </si>
  <si>
    <t>RC AND FA FACTOR(10)</t>
  </si>
  <si>
    <t>WAREHOUSE/MARKETS</t>
  </si>
  <si>
    <t>BENIN-CITY</t>
  </si>
  <si>
    <t xml:space="preserve">LAGOS </t>
  </si>
  <si>
    <t>DEMAND AND SUPPLY, COST PER UNIT, WAREHOUSE CAPACITY AND CONSTRAINTS</t>
  </si>
  <si>
    <t>Total Demand</t>
  </si>
  <si>
    <t>Warehouse Capacity</t>
  </si>
  <si>
    <t>50,800/ 62,000</t>
  </si>
  <si>
    <t xml:space="preserve">SHORTEST FEASIBLE ROUTE DISTANCE (NOVEMBER 2026) </t>
  </si>
  <si>
    <t>STEEL DISTRIBUTION NETWORK OPTIMIZATION</t>
  </si>
  <si>
    <t>AVERAGE TRUCK FUEL EFFICIENCY</t>
  </si>
  <si>
    <t>AVERAGE FUEL LITRES NEEDED/TRUCK</t>
  </si>
  <si>
    <t>OPTIMUM DISTRIBUTION</t>
  </si>
  <si>
    <t>Minimum Possible Cost</t>
  </si>
  <si>
    <t>Variable</t>
  </si>
  <si>
    <t>Value</t>
  </si>
  <si>
    <t>Obj.Cost</t>
  </si>
  <si>
    <t>Reduced Cost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</si>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</sst>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₦-46A]* #,##0.00_-;\-[$₦-46A]* #,##0.00_-;_-[$₦-46A]* &quot;-&quot;??_-;_-@_-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2" xfId="0" applyNumberFormat="1" applyBorder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3" fillId="0" borderId="0" xfId="0" applyFont="1"/>
    <xf numFmtId="3" fontId="0" fillId="0" borderId="0" xfId="0" applyNumberFormat="1"/>
    <xf numFmtId="0" fontId="2" fillId="2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Variable</a:t>
            </a:r>
            <a:r>
              <a:rPr lang="en-US" baseline="0"/>
              <a:t> Quantities to Route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Sheet1!$K$34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Sheet1!$J$35:$J$46</c:f>
              <c:strCache>
                <c:ptCount val="12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</c:strCache>
            </c:strRef>
          </c:cat>
          <c:val>
            <c:numRef>
              <c:f>Sheet1!$K$35:$K$46</c:f>
              <c:numCache>
                <c:formatCode>General</c:formatCode>
                <c:ptCount val="12"/>
                <c:pt idx="0">
                  <c:v>0</c:v>
                </c:pt>
                <c:pt idx="1">
                  <c:v>500</c:v>
                </c:pt>
                <c:pt idx="2">
                  <c:v>0</c:v>
                </c:pt>
                <c:pt idx="3">
                  <c:v>8300</c:v>
                </c:pt>
                <c:pt idx="4">
                  <c:v>17000</c:v>
                </c:pt>
                <c:pt idx="5">
                  <c:v>0</c:v>
                </c:pt>
                <c:pt idx="6">
                  <c:v>5000</c:v>
                </c:pt>
                <c:pt idx="7">
                  <c:v>0</c:v>
                </c:pt>
                <c:pt idx="8">
                  <c:v>0</c:v>
                </c:pt>
                <c:pt idx="9">
                  <c:v>14000</c:v>
                </c:pt>
                <c:pt idx="10">
                  <c:v>6000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C-4C3E-B055-DF9C5424A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4670080"/>
        <c:axId val="1524668640"/>
        <c:axId val="0"/>
      </c:bar3DChart>
      <c:catAx>
        <c:axId val="152467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668640"/>
        <c:crosses val="autoZero"/>
        <c:auto val="1"/>
        <c:lblAlgn val="ctr"/>
        <c:lblOffset val="100"/>
        <c:noMultiLvlLbl val="0"/>
      </c:catAx>
      <c:valAx>
        <c:axId val="152466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67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Sheet1!$J$50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Sheet1!$I$51:$I$62</c:f>
              <c:numCache>
                <c:formatCode>General</c:formatCode>
                <c:ptCount val="12"/>
              </c:numCache>
            </c:numRef>
          </c:cat>
          <c:val>
            <c:numRef>
              <c:f>Sheet1!$J$51:$J$62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87C-4DD7-BF37-D54368597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6219376"/>
        <c:axId val="1716217456"/>
        <c:axId val="0"/>
      </c:bar3DChart>
      <c:catAx>
        <c:axId val="171621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17456"/>
        <c:crosses val="autoZero"/>
        <c:auto val="1"/>
        <c:lblAlgn val="ctr"/>
        <c:lblOffset val="100"/>
        <c:noMultiLvlLbl val="0"/>
      </c:catAx>
      <c:valAx>
        <c:axId val="171621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1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saved</a:t>
            </a:r>
            <a:r>
              <a:rPr lang="en-US" baseline="0"/>
              <a:t> from Random Allocation (Loss)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Sheet1!$M$34</c:f>
              <c:strCache>
                <c:ptCount val="1"/>
                <c:pt idx="0">
                  <c:v>Reduced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Sheet1!$J$35:$J$46</c:f>
              <c:strCache>
                <c:ptCount val="12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</c:strCache>
            </c:strRef>
          </c:cat>
          <c:val>
            <c:numRef>
              <c:f>Sheet1!$M$35:$M$46</c:f>
              <c:numCache>
                <c:formatCode>General</c:formatCode>
                <c:ptCount val="12"/>
                <c:pt idx="0">
                  <c:v>-24.14</c:v>
                </c:pt>
                <c:pt idx="1">
                  <c:v>0</c:v>
                </c:pt>
                <c:pt idx="2">
                  <c:v>-27.92</c:v>
                </c:pt>
                <c:pt idx="3">
                  <c:v>0</c:v>
                </c:pt>
                <c:pt idx="4">
                  <c:v>0</c:v>
                </c:pt>
                <c:pt idx="5">
                  <c:v>-62.98</c:v>
                </c:pt>
                <c:pt idx="6">
                  <c:v>0</c:v>
                </c:pt>
                <c:pt idx="7">
                  <c:v>-3.65</c:v>
                </c:pt>
                <c:pt idx="8">
                  <c:v>-13.87</c:v>
                </c:pt>
                <c:pt idx="9">
                  <c:v>0</c:v>
                </c:pt>
                <c:pt idx="10">
                  <c:v>0</c:v>
                </c:pt>
                <c:pt idx="11">
                  <c:v>-80.02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F-425F-8A34-2D5AD4D59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2585392"/>
        <c:axId val="1492585872"/>
        <c:axId val="0"/>
      </c:bar3DChart>
      <c:catAx>
        <c:axId val="14925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85872"/>
        <c:crosses val="autoZero"/>
        <c:auto val="1"/>
        <c:lblAlgn val="ctr"/>
        <c:lblOffset val="100"/>
        <c:noMultiLvlLbl val="0"/>
      </c:catAx>
      <c:valAx>
        <c:axId val="149258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8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641684</xdr:colOff>
      <xdr:row>32</xdr:row>
      <xdr:rowOff>37096</xdr:rowOff>
    </xdr:from>
    <xdr:to>
      <xdr:col>8</xdr:col>
      <xdr:colOff>1604211</xdr:colOff>
      <xdr:row>45</xdr:row>
      <xdr:rowOff>173454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148D0-07E0-3FAE-070A-439A0C197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651711</xdr:colOff>
      <xdr:row>48</xdr:row>
      <xdr:rowOff>177465</xdr:rowOff>
    </xdr:from>
    <xdr:to>
      <xdr:col>7</xdr:col>
      <xdr:colOff>822158</xdr:colOff>
      <xdr:row>63</xdr:row>
      <xdr:rowOff>13033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110AA6-5528-BAEB-4248-2D908AEEF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651710</xdr:colOff>
      <xdr:row>48</xdr:row>
      <xdr:rowOff>77202</xdr:rowOff>
    </xdr:from>
    <xdr:to>
      <xdr:col>8</xdr:col>
      <xdr:colOff>1614237</xdr:colOff>
      <xdr:row>62</xdr:row>
      <xdr:rowOff>103270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5E40D6-7259-0E2E-CFC3-7C03C2D96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C25F-61FF-4DDF-B393-CE19A6736111}">
  <dimension ref="A1:AA50"/>
  <sheetViews>
    <sheetView tabSelected="1" topLeftCell="H32" zoomScale="95" zoomScaleNormal="95" workbookViewId="0">
      <selection activeCell="L49" sqref="L49"/>
    </sheetView>
  </sheetViews>
  <sheetFormatPr defaultRowHeight="15" x14ac:dyDescent="0.25"/>
  <cols>
    <col min="1" max="1" width="39.5703125" bestFit="1" customWidth="1"/>
    <col min="2" max="2" width="11" bestFit="1" customWidth="1"/>
    <col min="4" max="4" width="72.7109375" bestFit="1" customWidth="1"/>
    <col min="5" max="5" width="15.5703125" bestFit="1" customWidth="1"/>
    <col min="6" max="6" width="10.85546875" bestFit="1" customWidth="1"/>
    <col min="7" max="7" width="39.5703125" bestFit="1" customWidth="1"/>
    <col min="8" max="8" width="14.5703125" bestFit="1" customWidth="1"/>
    <col min="9" max="9" width="36.5703125" bestFit="1" customWidth="1"/>
    <col min="10" max="10" width="31.7109375" bestFit="1" customWidth="1"/>
    <col min="11" max="11" width="15" bestFit="1" customWidth="1"/>
    <col min="12" max="12" width="13" bestFit="1" customWidth="1"/>
    <col min="13" max="13" width="15.140625" bestFit="1" customWidth="1"/>
    <col min="14" max="14" width="27.28515625" bestFit="1" customWidth="1"/>
    <col min="18" max="18" width="19" bestFit="1" customWidth="1"/>
    <col min="19" max="19" width="47" bestFit="1" customWidth="1"/>
    <col min="20" max="20" width="20.140625" bestFit="1" customWidth="1"/>
    <col min="21" max="21" width="52.42578125" bestFit="1" customWidth="1"/>
    <col min="22" max="22" width="39.28515625" bestFit="1" customWidth="1"/>
    <col min="23" max="23" width="31.28515625" bestFit="1" customWidth="1"/>
    <col min="24" max="24" width="27.7109375" bestFit="1" customWidth="1"/>
    <col min="25" max="25" width="31.28515625" bestFit="1" customWidth="1"/>
    <col min="26" max="26" width="53.85546875" bestFit="1" customWidth="1"/>
    <col min="27" max="27" width="44.28515625" bestFit="1" customWidth="1"/>
  </cols>
  <sheetData>
    <row r="1" spans="1:27" ht="9.75" customHeight="1" x14ac:dyDescent="0.25"/>
    <row r="2" spans="1:27" ht="30" customHeight="1" x14ac:dyDescent="0.4">
      <c r="A2" s="25" t="s">
        <v>55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ht="18.75" x14ac:dyDescent="0.3">
      <c r="D3" s="20" t="s">
        <v>54</v>
      </c>
      <c r="E3" s="20"/>
      <c r="F3" s="20"/>
      <c r="G3" s="20"/>
      <c r="H3" s="20"/>
      <c r="I3" s="20"/>
      <c r="R3" s="20" t="s">
        <v>25</v>
      </c>
      <c r="S3" s="20"/>
      <c r="T3" s="20"/>
      <c r="U3" s="20"/>
      <c r="V3" s="20"/>
      <c r="W3" s="20"/>
      <c r="X3" s="20"/>
      <c r="Y3" s="20"/>
      <c r="Z3" s="20"/>
      <c r="AA3" s="20"/>
    </row>
    <row r="4" spans="1:27" ht="21" x14ac:dyDescent="0.35">
      <c r="E4" s="1" t="s">
        <v>3</v>
      </c>
      <c r="F4" s="1" t="s">
        <v>4</v>
      </c>
      <c r="G4" s="1" t="s">
        <v>5</v>
      </c>
      <c r="H4" s="1" t="s">
        <v>6</v>
      </c>
      <c r="R4" s="4" t="s">
        <v>28</v>
      </c>
      <c r="S4" s="4" t="s">
        <v>56</v>
      </c>
      <c r="T4" s="4" t="s">
        <v>33</v>
      </c>
      <c r="U4" s="4" t="s">
        <v>57</v>
      </c>
      <c r="V4" s="4" t="s">
        <v>29</v>
      </c>
      <c r="W4" s="4" t="s">
        <v>46</v>
      </c>
      <c r="X4" s="4" t="s">
        <v>34</v>
      </c>
      <c r="Y4" s="4" t="s">
        <v>30</v>
      </c>
      <c r="Z4" s="4" t="s">
        <v>31</v>
      </c>
      <c r="AA4" s="4" t="s">
        <v>32</v>
      </c>
    </row>
    <row r="5" spans="1:27" ht="21" x14ac:dyDescent="0.35">
      <c r="D5" s="1" t="s">
        <v>0</v>
      </c>
      <c r="E5" t="s">
        <v>7</v>
      </c>
      <c r="F5" t="s">
        <v>8</v>
      </c>
      <c r="G5" t="s">
        <v>9</v>
      </c>
      <c r="H5" t="s">
        <v>10</v>
      </c>
      <c r="R5" t="s">
        <v>26</v>
      </c>
      <c r="S5">
        <v>2.2000000000000002</v>
      </c>
      <c r="T5">
        <v>334</v>
      </c>
      <c r="U5">
        <f>T5/S5</f>
        <v>151.81818181818181</v>
      </c>
      <c r="V5" s="12">
        <f>U5*$B$13</f>
        <v>303636.36363636365</v>
      </c>
      <c r="W5">
        <v>9</v>
      </c>
      <c r="X5">
        <f>1*8%</f>
        <v>0.08</v>
      </c>
      <c r="Y5" s="12">
        <f>X5*V5</f>
        <v>24290.909090909092</v>
      </c>
      <c r="Z5" s="12">
        <f>Y5+V5</f>
        <v>327927.27272727276</v>
      </c>
      <c r="AA5" s="12">
        <f>Z5/1200</f>
        <v>273.27272727272731</v>
      </c>
    </row>
    <row r="6" spans="1:27" ht="21" x14ac:dyDescent="0.35">
      <c r="D6" s="1" t="s">
        <v>1</v>
      </c>
      <c r="E6" t="s">
        <v>11</v>
      </c>
      <c r="F6" t="s">
        <v>12</v>
      </c>
      <c r="G6" t="s">
        <v>13</v>
      </c>
      <c r="H6" t="s">
        <v>14</v>
      </c>
      <c r="R6" t="s">
        <v>27</v>
      </c>
      <c r="S6">
        <v>2.2000000000000002</v>
      </c>
      <c r="T6">
        <v>187</v>
      </c>
      <c r="U6">
        <f t="shared" ref="U6:U7" si="0">T6/S6</f>
        <v>85</v>
      </c>
      <c r="V6" s="12">
        <f>U6*$B$13</f>
        <v>170000</v>
      </c>
      <c r="W6">
        <v>9</v>
      </c>
      <c r="X6">
        <f t="shared" ref="X6:X8" si="1">1*8%</f>
        <v>0.08</v>
      </c>
      <c r="Y6" s="12">
        <f t="shared" ref="Y6:Y7" si="2">X6*V6</f>
        <v>13600</v>
      </c>
      <c r="Z6" s="12">
        <f>Y6+V6</f>
        <v>183600</v>
      </c>
      <c r="AA6" s="12">
        <f>Z6/1200</f>
        <v>153</v>
      </c>
    </row>
    <row r="7" spans="1:27" ht="21" x14ac:dyDescent="0.35">
      <c r="D7" s="1" t="s">
        <v>2</v>
      </c>
      <c r="E7" t="s">
        <v>15</v>
      </c>
      <c r="F7" t="s">
        <v>16</v>
      </c>
      <c r="G7" t="s">
        <v>17</v>
      </c>
      <c r="H7" t="s">
        <v>18</v>
      </c>
      <c r="R7" t="s">
        <v>35</v>
      </c>
      <c r="S7">
        <v>2.2000000000000002</v>
      </c>
      <c r="T7">
        <v>283</v>
      </c>
      <c r="U7">
        <f t="shared" si="0"/>
        <v>128.63636363636363</v>
      </c>
      <c r="V7" s="12">
        <f>U7*$B$13</f>
        <v>257272.72727272726</v>
      </c>
      <c r="W7">
        <v>9</v>
      </c>
      <c r="X7">
        <f t="shared" si="1"/>
        <v>0.08</v>
      </c>
      <c r="Y7" s="12">
        <f t="shared" si="2"/>
        <v>20581.81818181818</v>
      </c>
      <c r="Z7" s="12">
        <f>Y7+V7</f>
        <v>277854.54545454547</v>
      </c>
      <c r="AA7" s="12">
        <f>Z7/1200</f>
        <v>231.54545454545456</v>
      </c>
    </row>
    <row r="8" spans="1:27" ht="21" x14ac:dyDescent="0.35">
      <c r="D8" s="1"/>
      <c r="R8" t="s">
        <v>36</v>
      </c>
      <c r="S8">
        <v>2.2000000000000002</v>
      </c>
      <c r="T8">
        <v>161</v>
      </c>
      <c r="U8">
        <f>T8/S8</f>
        <v>73.181818181818173</v>
      </c>
      <c r="V8" s="12">
        <f>U8*$B$13</f>
        <v>146363.63636363635</v>
      </c>
      <c r="W8">
        <v>9</v>
      </c>
      <c r="X8">
        <f t="shared" si="1"/>
        <v>0.08</v>
      </c>
      <c r="Y8" s="12">
        <f>X8*V8</f>
        <v>11709.090909090908</v>
      </c>
      <c r="Z8" s="12">
        <f>Y8+V8</f>
        <v>158072.72727272726</v>
      </c>
      <c r="AA8" s="12">
        <f>Z8/1200</f>
        <v>131.72727272727272</v>
      </c>
    </row>
    <row r="9" spans="1:27" ht="21" x14ac:dyDescent="0.35">
      <c r="D9" s="1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R10" t="s">
        <v>37</v>
      </c>
      <c r="S10">
        <v>2.7</v>
      </c>
      <c r="T10">
        <v>321</v>
      </c>
      <c r="U10" s="14">
        <f>T10/S10</f>
        <v>118.88888888888889</v>
      </c>
      <c r="V10" s="15">
        <f>U10*$E$13</f>
        <v>231833.33333333331</v>
      </c>
      <c r="W10" s="17">
        <v>9</v>
      </c>
      <c r="X10">
        <f>1*8%</f>
        <v>0.08</v>
      </c>
      <c r="Y10" s="15">
        <f>X10*V10</f>
        <v>18546.666666666664</v>
      </c>
      <c r="Z10" s="15">
        <f>Y10+V10</f>
        <v>250379.99999999997</v>
      </c>
      <c r="AA10" s="15">
        <f>Z10/1200</f>
        <v>208.64999999999998</v>
      </c>
    </row>
    <row r="11" spans="1:27" ht="15" customHeight="1" thickBot="1" x14ac:dyDescent="0.35">
      <c r="A11" s="5"/>
      <c r="B11" s="5"/>
      <c r="C11" s="5"/>
      <c r="D11" s="6" t="s">
        <v>19</v>
      </c>
      <c r="E11" s="5"/>
      <c r="F11" s="5"/>
      <c r="G11" s="5"/>
      <c r="H11" s="5"/>
      <c r="R11" t="s">
        <v>38</v>
      </c>
      <c r="S11">
        <v>2.7</v>
      </c>
      <c r="T11">
        <v>270</v>
      </c>
      <c r="U11" s="14">
        <f t="shared" ref="U11:U13" si="3">T11/S11</f>
        <v>100</v>
      </c>
      <c r="V11" s="15">
        <f t="shared" ref="V11:V12" si="4">U11*$E$13</f>
        <v>195000</v>
      </c>
      <c r="W11" s="17">
        <v>9</v>
      </c>
      <c r="X11">
        <f t="shared" ref="X11:X13" si="5">1*8%</f>
        <v>0.08</v>
      </c>
      <c r="Y11" s="15">
        <f>X11*V11</f>
        <v>15600</v>
      </c>
      <c r="Z11" s="15">
        <f>Y11+V11</f>
        <v>210600</v>
      </c>
      <c r="AA11" s="15">
        <f>Z11/1200</f>
        <v>175.5</v>
      </c>
    </row>
    <row r="12" spans="1:27" ht="21.75" thickBot="1" x14ac:dyDescent="0.4">
      <c r="A12" s="23" t="s">
        <v>0</v>
      </c>
      <c r="B12" s="24"/>
      <c r="D12" s="21" t="s">
        <v>1</v>
      </c>
      <c r="E12" s="22"/>
      <c r="G12" s="21" t="s">
        <v>2</v>
      </c>
      <c r="H12" s="22"/>
      <c r="R12" t="s">
        <v>39</v>
      </c>
      <c r="S12">
        <v>2.7</v>
      </c>
      <c r="T12">
        <v>251</v>
      </c>
      <c r="U12" s="14">
        <f t="shared" si="3"/>
        <v>92.962962962962962</v>
      </c>
      <c r="V12" s="15">
        <f t="shared" si="4"/>
        <v>181277.77777777778</v>
      </c>
      <c r="W12" s="17">
        <v>9</v>
      </c>
      <c r="X12">
        <f t="shared" si="5"/>
        <v>0.08</v>
      </c>
      <c r="Y12" s="15">
        <f t="shared" ref="Y12:Y13" si="6">X12*V12</f>
        <v>14502.222222222223</v>
      </c>
      <c r="Z12" s="15">
        <f t="shared" ref="Z12:Z13" si="7">Y12+V12</f>
        <v>195780</v>
      </c>
      <c r="AA12" s="15">
        <f>Z12/1200</f>
        <v>163.15</v>
      </c>
    </row>
    <row r="13" spans="1:27" x14ac:dyDescent="0.25">
      <c r="A13" s="7" t="s">
        <v>22</v>
      </c>
      <c r="B13" s="11">
        <v>2000</v>
      </c>
      <c r="C13" s="8"/>
      <c r="D13" s="7" t="s">
        <v>22</v>
      </c>
      <c r="E13" s="11">
        <v>1950</v>
      </c>
      <c r="G13" s="7" t="s">
        <v>22</v>
      </c>
      <c r="H13" s="11">
        <v>1800</v>
      </c>
      <c r="R13" t="s">
        <v>40</v>
      </c>
      <c r="S13">
        <v>2.7</v>
      </c>
      <c r="T13">
        <v>146</v>
      </c>
      <c r="U13" s="14">
        <f t="shared" si="3"/>
        <v>54.074074074074069</v>
      </c>
      <c r="V13" s="15">
        <f>U13*$E$13</f>
        <v>105444.44444444444</v>
      </c>
      <c r="W13" s="17">
        <v>9</v>
      </c>
      <c r="X13">
        <f t="shared" si="5"/>
        <v>0.08</v>
      </c>
      <c r="Y13" s="15">
        <f t="shared" si="6"/>
        <v>8435.5555555555547</v>
      </c>
      <c r="Z13" s="15">
        <f t="shared" si="7"/>
        <v>113880</v>
      </c>
      <c r="AA13" s="15">
        <f>Z13/1200</f>
        <v>94.9</v>
      </c>
    </row>
    <row r="14" spans="1:27" x14ac:dyDescent="0.25">
      <c r="A14" s="7" t="s">
        <v>20</v>
      </c>
      <c r="B14" s="8">
        <v>5</v>
      </c>
      <c r="C14" s="8"/>
      <c r="D14" s="7" t="s">
        <v>20</v>
      </c>
      <c r="E14" s="8">
        <v>4</v>
      </c>
      <c r="G14" s="7" t="s">
        <v>20</v>
      </c>
      <c r="H14" s="8">
        <v>5</v>
      </c>
    </row>
    <row r="15" spans="1:27" x14ac:dyDescent="0.25">
      <c r="A15" s="7" t="s">
        <v>24</v>
      </c>
      <c r="B15" s="8">
        <v>2.2000000000000002</v>
      </c>
      <c r="C15" s="8"/>
      <c r="D15" s="7" t="s">
        <v>23</v>
      </c>
      <c r="E15" s="8">
        <v>2.7</v>
      </c>
      <c r="G15" s="7" t="s">
        <v>23</v>
      </c>
      <c r="H15" s="8">
        <v>2.4</v>
      </c>
      <c r="R15" s="16" t="s">
        <v>41</v>
      </c>
      <c r="S15">
        <v>2.4</v>
      </c>
      <c r="T15" s="17">
        <v>320</v>
      </c>
      <c r="U15" s="17">
        <f>T15/S15</f>
        <v>133.33333333333334</v>
      </c>
      <c r="V15" s="15">
        <f>U15*$H$13</f>
        <v>240000.00000000003</v>
      </c>
      <c r="W15" s="17">
        <v>10</v>
      </c>
      <c r="X15" s="13" t="s">
        <v>45</v>
      </c>
      <c r="Y15" s="13" t="s">
        <v>45</v>
      </c>
      <c r="Z15" s="15">
        <f>V15</f>
        <v>240000.00000000003</v>
      </c>
      <c r="AA15" s="15">
        <f>Z15/1200</f>
        <v>200.00000000000003</v>
      </c>
    </row>
    <row r="16" spans="1:27" x14ac:dyDescent="0.25">
      <c r="A16" s="9" t="s">
        <v>21</v>
      </c>
      <c r="B16" s="10">
        <v>4</v>
      </c>
      <c r="C16" s="8"/>
      <c r="D16" s="9" t="s">
        <v>21</v>
      </c>
      <c r="E16" s="10">
        <v>5</v>
      </c>
      <c r="G16" s="9" t="s">
        <v>21</v>
      </c>
      <c r="H16" s="10">
        <v>5</v>
      </c>
      <c r="R16" s="16" t="s">
        <v>42</v>
      </c>
      <c r="S16">
        <v>2.4</v>
      </c>
      <c r="T16" s="17">
        <v>144</v>
      </c>
      <c r="U16" s="17">
        <f t="shared" ref="U16:U18" si="8">T16/S16</f>
        <v>60</v>
      </c>
      <c r="V16" s="15">
        <f>U16*$H$13</f>
        <v>108000</v>
      </c>
      <c r="W16" s="17">
        <v>10</v>
      </c>
      <c r="X16" s="13" t="s">
        <v>45</v>
      </c>
      <c r="Y16" s="13" t="s">
        <v>45</v>
      </c>
      <c r="Z16" s="15">
        <f t="shared" ref="Z16:Z18" si="9">V16</f>
        <v>108000</v>
      </c>
      <c r="AA16" s="15">
        <f t="shared" ref="AA16:AA18" si="10">Z16/1200</f>
        <v>90</v>
      </c>
    </row>
    <row r="17" spans="1:27" x14ac:dyDescent="0.25">
      <c r="R17" s="16" t="s">
        <v>43</v>
      </c>
      <c r="S17">
        <v>2.4</v>
      </c>
      <c r="T17" s="17">
        <v>225</v>
      </c>
      <c r="U17" s="17">
        <f t="shared" si="8"/>
        <v>93.75</v>
      </c>
      <c r="V17" s="15">
        <f t="shared" ref="V17:V18" si="11">U17*$H$13</f>
        <v>168750</v>
      </c>
      <c r="W17" s="17">
        <v>10</v>
      </c>
      <c r="X17" s="13" t="s">
        <v>45</v>
      </c>
      <c r="Y17" s="13" t="s">
        <v>45</v>
      </c>
      <c r="Z17" s="15">
        <f t="shared" si="9"/>
        <v>168750</v>
      </c>
      <c r="AA17" s="15">
        <f t="shared" si="10"/>
        <v>140.625</v>
      </c>
    </row>
    <row r="18" spans="1:27" x14ac:dyDescent="0.25">
      <c r="R18" s="16" t="s">
        <v>44</v>
      </c>
      <c r="S18">
        <v>2.4</v>
      </c>
      <c r="T18" s="17">
        <v>238</v>
      </c>
      <c r="U18" s="17">
        <f t="shared" si="8"/>
        <v>99.166666666666671</v>
      </c>
      <c r="V18" s="15">
        <f t="shared" si="11"/>
        <v>178500</v>
      </c>
      <c r="W18" s="17">
        <v>10</v>
      </c>
      <c r="X18" s="13" t="s">
        <v>45</v>
      </c>
      <c r="Y18" s="13" t="s">
        <v>45</v>
      </c>
      <c r="Z18" s="15">
        <f t="shared" si="9"/>
        <v>178500</v>
      </c>
      <c r="AA18" s="15">
        <f t="shared" si="10"/>
        <v>148.75</v>
      </c>
    </row>
    <row r="19" spans="1:27" ht="18.75" x14ac:dyDescent="0.3">
      <c r="A19" s="2"/>
    </row>
    <row r="20" spans="1:27" ht="21" x14ac:dyDescent="0.35">
      <c r="A20" s="3"/>
    </row>
    <row r="21" spans="1:27" ht="18.75" x14ac:dyDescent="0.3">
      <c r="I21" s="20" t="s">
        <v>50</v>
      </c>
      <c r="J21" s="20"/>
      <c r="K21" s="20"/>
      <c r="L21" s="20"/>
      <c r="M21" s="20"/>
      <c r="N21" s="20"/>
      <c r="O21" s="20"/>
      <c r="P21" s="20"/>
      <c r="Q21" s="20"/>
    </row>
    <row r="22" spans="1:27" ht="23.25" x14ac:dyDescent="0.35">
      <c r="I22" s="18" t="s">
        <v>47</v>
      </c>
      <c r="J22" s="1" t="s">
        <v>49</v>
      </c>
      <c r="K22" s="1" t="s">
        <v>4</v>
      </c>
      <c r="L22" s="1" t="s">
        <v>5</v>
      </c>
      <c r="M22" s="1" t="s">
        <v>6</v>
      </c>
      <c r="N22" s="1" t="s">
        <v>52</v>
      </c>
    </row>
    <row r="23" spans="1:27" ht="21" x14ac:dyDescent="0.35">
      <c r="I23" s="1" t="s">
        <v>0</v>
      </c>
      <c r="J23">
        <v>273.27</v>
      </c>
      <c r="K23">
        <v>153</v>
      </c>
      <c r="L23">
        <v>231.55</v>
      </c>
      <c r="M23">
        <v>131.72999999999999</v>
      </c>
      <c r="N23" s="19">
        <v>20000</v>
      </c>
    </row>
    <row r="24" spans="1:27" ht="21" x14ac:dyDescent="0.35">
      <c r="I24" s="1" t="s">
        <v>48</v>
      </c>
      <c r="J24">
        <v>208.65</v>
      </c>
      <c r="K24">
        <v>175.5</v>
      </c>
      <c r="L24">
        <v>163.15</v>
      </c>
      <c r="M24">
        <v>94.9</v>
      </c>
      <c r="N24" s="19">
        <v>22000</v>
      </c>
    </row>
    <row r="25" spans="1:27" ht="21" x14ac:dyDescent="0.35">
      <c r="I25" s="1" t="s">
        <v>2</v>
      </c>
      <c r="J25">
        <v>200</v>
      </c>
      <c r="K25">
        <v>90</v>
      </c>
      <c r="L25">
        <v>140.63</v>
      </c>
      <c r="M25">
        <v>148.75</v>
      </c>
      <c r="N25" s="19">
        <v>20000</v>
      </c>
    </row>
    <row r="26" spans="1:27" ht="21" x14ac:dyDescent="0.35">
      <c r="I26" s="1" t="s">
        <v>51</v>
      </c>
      <c r="J26" s="19">
        <v>17000</v>
      </c>
      <c r="K26" s="19">
        <v>14500</v>
      </c>
      <c r="L26" s="19">
        <v>11000</v>
      </c>
      <c r="M26" s="19">
        <v>8300</v>
      </c>
      <c r="N26" t="s">
        <v>53</v>
      </c>
    </row>
    <row r="32" spans="1:27" ht="18.75" x14ac:dyDescent="0.3">
      <c r="J32" s="20" t="s">
        <v>58</v>
      </c>
      <c r="K32" s="26"/>
      <c r="L32" s="26"/>
      <c r="M32" s="26"/>
    </row>
    <row r="33" spans="10:13" ht="21" x14ac:dyDescent="0.35">
      <c r="J33" s="3" t="s">
        <v>59</v>
      </c>
      <c r="K33" s="12">
        <v>7636440</v>
      </c>
    </row>
    <row r="34" spans="10:13" ht="18.75" x14ac:dyDescent="0.3">
      <c r="J34" s="2" t="s">
        <v>60</v>
      </c>
      <c r="K34" s="2" t="s">
        <v>61</v>
      </c>
      <c r="L34" s="2" t="s">
        <v>62</v>
      </c>
      <c r="M34" s="2" t="s">
        <v>63</v>
      </c>
    </row>
    <row r="35" spans="10:13" x14ac:dyDescent="0.25">
      <c r="J35" t="s">
        <v>64</v>
      </c>
      <c r="K35">
        <v>0</v>
      </c>
      <c r="L35">
        <v>273.27</v>
      </c>
      <c r="M35">
        <v>-24.14</v>
      </c>
    </row>
    <row r="36" spans="10:13" x14ac:dyDescent="0.25">
      <c r="J36" t="s">
        <v>65</v>
      </c>
      <c r="K36">
        <v>500</v>
      </c>
      <c r="L36">
        <v>153</v>
      </c>
      <c r="M36">
        <v>0</v>
      </c>
    </row>
    <row r="37" spans="10:13" x14ac:dyDescent="0.25">
      <c r="J37" t="s">
        <v>66</v>
      </c>
      <c r="K37">
        <v>0</v>
      </c>
      <c r="L37">
        <v>231.55</v>
      </c>
      <c r="M37">
        <v>-27.92</v>
      </c>
    </row>
    <row r="38" spans="10:13" x14ac:dyDescent="0.25">
      <c r="J38" t="s">
        <v>67</v>
      </c>
      <c r="K38">
        <v>8300</v>
      </c>
      <c r="L38">
        <v>131.72999999999999</v>
      </c>
      <c r="M38">
        <v>0</v>
      </c>
    </row>
    <row r="39" spans="10:13" x14ac:dyDescent="0.25">
      <c r="J39" t="s">
        <v>68</v>
      </c>
      <c r="K39">
        <v>17000</v>
      </c>
      <c r="L39">
        <v>208.65</v>
      </c>
      <c r="M39">
        <v>0</v>
      </c>
    </row>
    <row r="40" spans="10:13" x14ac:dyDescent="0.25">
      <c r="J40" t="s">
        <v>69</v>
      </c>
      <c r="K40">
        <v>0</v>
      </c>
      <c r="L40">
        <v>175.5</v>
      </c>
      <c r="M40">
        <v>-62.98</v>
      </c>
    </row>
    <row r="41" spans="10:13" x14ac:dyDescent="0.25">
      <c r="J41" t="s">
        <v>70</v>
      </c>
      <c r="K41">
        <v>5000</v>
      </c>
      <c r="L41">
        <v>163.15</v>
      </c>
      <c r="M41">
        <v>0</v>
      </c>
    </row>
    <row r="42" spans="10:13" x14ac:dyDescent="0.25">
      <c r="J42" t="s">
        <v>71</v>
      </c>
      <c r="K42">
        <v>0</v>
      </c>
      <c r="L42">
        <v>94.9</v>
      </c>
      <c r="M42">
        <v>-3.65</v>
      </c>
    </row>
    <row r="43" spans="10:13" x14ac:dyDescent="0.25">
      <c r="J43" t="s">
        <v>72</v>
      </c>
      <c r="K43">
        <v>0</v>
      </c>
      <c r="L43">
        <v>200</v>
      </c>
      <c r="M43">
        <v>-13.87</v>
      </c>
    </row>
    <row r="44" spans="10:13" x14ac:dyDescent="0.25">
      <c r="J44" t="s">
        <v>73</v>
      </c>
      <c r="K44">
        <v>14000</v>
      </c>
      <c r="L44">
        <v>90</v>
      </c>
      <c r="M44">
        <v>0</v>
      </c>
    </row>
    <row r="45" spans="10:13" x14ac:dyDescent="0.25">
      <c r="J45" t="s">
        <v>74</v>
      </c>
      <c r="K45">
        <v>6000</v>
      </c>
      <c r="L45">
        <v>140.63</v>
      </c>
      <c r="M45">
        <v>0</v>
      </c>
    </row>
    <row r="46" spans="10:13" x14ac:dyDescent="0.25">
      <c r="J46" t="s">
        <v>75</v>
      </c>
      <c r="K46">
        <v>0</v>
      </c>
      <c r="L46">
        <v>148.75</v>
      </c>
      <c r="M46">
        <v>-80.02</v>
      </c>
    </row>
    <row r="47" spans="10:13" x14ac:dyDescent="0.25">
      <c r="J47" s="27" t="s">
        <v>76</v>
      </c>
      <c r="K47">
        <f>SUM(K35:K46)</f>
        <v>50800</v>
      </c>
      <c r="L47">
        <f>SUM(L35:L46)</f>
        <v>2011.13</v>
      </c>
      <c r="M47">
        <f>SUM(M35:M46)</f>
        <v>-212.57999999999998</v>
      </c>
    </row>
    <row r="50" spans="9:10" ht="18.75" x14ac:dyDescent="0.3">
      <c r="I50" s="2"/>
      <c r="J50" s="2"/>
    </row>
  </sheetData>
  <mergeCells count="8">
    <mergeCell ref="J32:M32"/>
    <mergeCell ref="I21:Q21"/>
    <mergeCell ref="A2:AA2"/>
    <mergeCell ref="R3:AA3"/>
    <mergeCell ref="D3:I3"/>
    <mergeCell ref="G12:H12"/>
    <mergeCell ref="D12:E12"/>
    <mergeCell ref="A12:B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Akolade Oriowo</dc:creator>
  <cp:lastModifiedBy>Akolade Oriowo</cp:lastModifiedBy>
  <dcterms:created xsi:type="dcterms:W3CDTF">2026-09-21T11:01:12Z</dcterms:created>
  <dcterms:modified xsi:type="dcterms:W3CDTF">2026-09-21T16:46:15Z</dcterms:modified>
</cp:coreProperties>
</file>